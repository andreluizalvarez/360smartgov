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thany\Projeto Gov\"/>
    </mc:Choice>
  </mc:AlternateContent>
  <xr:revisionPtr revIDLastSave="0" documentId="13_ncr:1_{5EFD3BE0-5676-4ABE-932E-A5F873E8E5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missas e Volumes" sheetId="1" r:id="rId1"/>
    <sheet name="Custos Operacionais" sheetId="2" r:id="rId2"/>
    <sheet name="Cenários de Us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C20" i="3"/>
  <c r="C19" i="3"/>
  <c r="E4" i="3"/>
  <c r="E5" i="3" s="1"/>
  <c r="D4" i="3"/>
  <c r="D5" i="3" s="1"/>
  <c r="C4" i="3"/>
  <c r="C5" i="3" s="1"/>
  <c r="B4" i="3"/>
  <c r="B5" i="3" s="1"/>
  <c r="F30" i="2"/>
  <c r="D13" i="3" s="1"/>
  <c r="E30" i="2"/>
  <c r="F29" i="2"/>
  <c r="F28" i="2"/>
  <c r="F27" i="2"/>
  <c r="E23" i="2"/>
  <c r="F23" i="2" s="1"/>
  <c r="B39" i="2" s="1"/>
  <c r="F20" i="2"/>
  <c r="F15" i="2"/>
  <c r="E15" i="2"/>
  <c r="D14" i="2"/>
  <c r="B7" i="1"/>
  <c r="B9" i="1" s="1"/>
  <c r="B6" i="3" l="1"/>
  <c r="B9" i="3"/>
  <c r="B7" i="3"/>
  <c r="B11" i="1"/>
  <c r="B15" i="1"/>
  <c r="B14" i="1"/>
  <c r="B16" i="1" s="1"/>
  <c r="B12" i="1"/>
  <c r="C6" i="3"/>
  <c r="C9" i="3"/>
  <c r="C7" i="3"/>
  <c r="D6" i="3"/>
  <c r="D9" i="3" s="1"/>
  <c r="D7" i="3"/>
  <c r="E7" i="3"/>
  <c r="E6" i="3"/>
  <c r="E9" i="3" s="1"/>
  <c r="E13" i="3"/>
  <c r="B13" i="3"/>
  <c r="C13" i="3"/>
  <c r="B40" i="2"/>
  <c r="B18" i="1" l="1"/>
  <c r="B17" i="1"/>
  <c r="C8" i="2"/>
  <c r="E8" i="2" s="1"/>
  <c r="F8" i="2" s="1"/>
  <c r="C7" i="2"/>
  <c r="E7" i="2" s="1"/>
  <c r="F7" i="2" s="1"/>
  <c r="B10" i="3"/>
  <c r="B12" i="3"/>
  <c r="B11" i="3"/>
  <c r="C10" i="3"/>
  <c r="C15" i="3" s="1"/>
  <c r="C16" i="3" s="1"/>
  <c r="C12" i="3"/>
  <c r="C11" i="3"/>
  <c r="C6" i="2"/>
  <c r="E6" i="2" s="1"/>
  <c r="F6" i="2" s="1"/>
  <c r="C5" i="2"/>
  <c r="E5" i="2" s="1"/>
  <c r="E12" i="3"/>
  <c r="E11" i="3"/>
  <c r="E10" i="3"/>
  <c r="E15" i="3" s="1"/>
  <c r="E16" i="3" s="1"/>
  <c r="D10" i="3"/>
  <c r="D12" i="3"/>
  <c r="D11" i="3"/>
  <c r="B15" i="3" l="1"/>
  <c r="B16" i="3" s="1"/>
  <c r="D15" i="3"/>
  <c r="D16" i="3" s="1"/>
  <c r="C14" i="2"/>
  <c r="E14" i="2" s="1"/>
  <c r="F14" i="2" s="1"/>
  <c r="C13" i="2"/>
  <c r="E13" i="2" s="1"/>
  <c r="F5" i="2"/>
  <c r="F9" i="2" s="1"/>
  <c r="E9" i="2"/>
  <c r="B37" i="2" l="1"/>
  <c r="F13" i="2"/>
  <c r="F16" i="2" s="1"/>
  <c r="B38" i="2" s="1"/>
  <c r="E16" i="2"/>
  <c r="E32" i="2" s="1"/>
  <c r="E33" i="2" s="1"/>
  <c r="F32" i="2" l="1"/>
  <c r="F33" i="2" l="1"/>
  <c r="C39" i="2"/>
  <c r="C40" i="2"/>
  <c r="C37" i="2"/>
  <c r="C38" i="2"/>
</calcChain>
</file>

<file path=xl/sharedStrings.xml><?xml version="1.0" encoding="utf-8"?>
<sst xmlns="http://schemas.openxmlformats.org/spreadsheetml/2006/main" count="148" uniqueCount="121">
  <si>
    <t>SMARTGOV 360 - PREMISSAS DE USO E VOLUMES ESTIMADOS</t>
  </si>
  <si>
    <t>Prefeitura Municipal de Ferraz de Vasconcelos - SP</t>
  </si>
  <si>
    <t>PARÂMETRO</t>
  </si>
  <si>
    <t>VALOR</t>
  </si>
  <si>
    <t>OBSERVAÇÃO</t>
  </si>
  <si>
    <t>Usuários cadastrados</t>
  </si>
  <si>
    <t>Capacidade inicial contratada</t>
  </si>
  <si>
    <t>Taxa de ativação mensal</t>
  </si>
  <si>
    <t>Percentual de usuários que abrem ocorrências no mês</t>
  </si>
  <si>
    <t>Usuários ativos/mês</t>
  </si>
  <si>
    <t>Calculado: B5 × B6</t>
  </si>
  <si>
    <t>Ocorrências por usuário ativo</t>
  </si>
  <si>
    <t>Média mensal estimada</t>
  </si>
  <si>
    <t>Total de ocorrências/mês</t>
  </si>
  <si>
    <t>Calculado: B7 × B8</t>
  </si>
  <si>
    <t>Ocorrências com foto (%)</t>
  </si>
  <si>
    <t>60% dos registros incluem imagem</t>
  </si>
  <si>
    <t>Ocorrências com foto</t>
  </si>
  <si>
    <t>Calculado: B9 × B10</t>
  </si>
  <si>
    <t>Ocorrências somente texto</t>
  </si>
  <si>
    <t>Calculado: B9 × (1 − B10)</t>
  </si>
  <si>
    <t>Atualizações de status por ocorrência</t>
  </si>
  <si>
    <t>Média (análise → andamento → resolvido)</t>
  </si>
  <si>
    <t>Total de atualizações de status/mês</t>
  </si>
  <si>
    <t>Calculado: B9 × B13</t>
  </si>
  <si>
    <t>Notificações por ocorrência (criação)</t>
  </si>
  <si>
    <t>1 notificação por ocorrência criada (=B9)</t>
  </si>
  <si>
    <t>Notificações por atualização de status</t>
  </si>
  <si>
    <t>1 notificação por atualização de status (=B14)</t>
  </si>
  <si>
    <t>Total de e-mails/mês</t>
  </si>
  <si>
    <t>Calculado: B15 + B16</t>
  </si>
  <si>
    <t>Total de mensagens WhatsApp/mês</t>
  </si>
  <si>
    <t>Cotação USD/BRL (ago/2026)</t>
  </si>
  <si>
    <t>Fonte: Investing.com</t>
  </si>
  <si>
    <t>CUSTOS OPERACIONAIS MENSAIS - DETALHAMENTO POR SERVIÇO</t>
  </si>
  <si>
    <t>OPENAI API (Classificação por IA)</t>
  </si>
  <si>
    <t>Item</t>
  </si>
  <si>
    <t>Modelo</t>
  </si>
  <si>
    <t>Volume</t>
  </si>
  <si>
    <t>Preço unitário (USD)</t>
  </si>
  <si>
    <t>Subtotal (USD)</t>
  </si>
  <si>
    <t>Subtotal (BRL)</t>
  </si>
  <si>
    <t>Detalhes</t>
  </si>
  <si>
    <t>Classificação por texto (input)</t>
  </si>
  <si>
    <t>gpt-4o-mini</t>
  </si>
  <si>
    <t>Ocorrências texto × 700 tokens (input)</t>
  </si>
  <si>
    <t>Classificação por texto (output)</t>
  </si>
  <si>
    <t>Ocorrências texto × 100 tokens (output)</t>
  </si>
  <si>
    <t>Classificação por imagem (input)</t>
  </si>
  <si>
    <t>gpt-4.1-mini</t>
  </si>
  <si>
    <t>Ocorrências com foto × 4.700 tokens (input)</t>
  </si>
  <si>
    <t>Classificação por imagem (output)</t>
  </si>
  <si>
    <t>Ocorrências com foto × 100 tokens (output)</t>
  </si>
  <si>
    <t>SUBTOTAL OPENAI</t>
  </si>
  <si>
    <t>TWILIO + META WHATSAPP (Notificações WhatsApp)</t>
  </si>
  <si>
    <t>Fornecedor</t>
  </si>
  <si>
    <t>Taxa por mensagem (Twilio)</t>
  </si>
  <si>
    <t>Twilio</t>
  </si>
  <si>
    <t>Taxa fixa Twilio por msg enviada</t>
  </si>
  <si>
    <t>Taxa por template utilitário (Meta)</t>
  </si>
  <si>
    <t>Meta/WhatsApp</t>
  </si>
  <si>
    <t>~R$ 0,05/msg utility (Brasil)</t>
  </si>
  <si>
    <t>Número telefônico (sender)</t>
  </si>
  <si>
    <t>Número WhatsApp Business registrado</t>
  </si>
  <si>
    <t>SUBTOTAL TWILIO/WHATSAPP</t>
  </si>
  <si>
    <t>E-MAIL (Notificações por e-mail)</t>
  </si>
  <si>
    <t>Plano Pro (recomendado produção)</t>
  </si>
  <si>
    <t>Resend</t>
  </si>
  <si>
    <t>50.000 emails/mês</t>
  </si>
  <si>
    <t>Inclui domínio customizado e logs</t>
  </si>
  <si>
    <t>Gmail SMTP (alternativa gratuita)</t>
  </si>
  <si>
    <t>Google</t>
  </si>
  <si>
    <t>~15.000 emails/mês</t>
  </si>
  <si>
    <t>Limite 500/dia; sem garantia de entrega</t>
  </si>
  <si>
    <t>Resend Free (alternativa gratuita)</t>
  </si>
  <si>
    <t>3.000 emails/mês</t>
  </si>
  <si>
    <t>Limite 100/dia; suficiente p/ baixo volume</t>
  </si>
  <si>
    <t>SUBTOTAL E-MAIL (Resend Pro)</t>
  </si>
  <si>
    <t>INFRAESTRUTURA (Hospedagem e Domínio)</t>
  </si>
  <si>
    <t>Plano</t>
  </si>
  <si>
    <t>Servidor cloud (VPS)</t>
  </si>
  <si>
    <t>DigitalOcean/Render</t>
  </si>
  <si>
    <t>Basic (1 vCPU, 1GB)</t>
  </si>
  <si>
    <t>Node.js + Express; suficiente p/ 1000 usuários</t>
  </si>
  <si>
    <t>Domínio .gov.br ou .com.br</t>
  </si>
  <si>
    <t>Registro.br</t>
  </si>
  <si>
    <t>Anual (rateio mensal)</t>
  </si>
  <si>
    <t>~R$ 40-65/ano = ~R$ 5/mês</t>
  </si>
  <si>
    <t>Certificado SSL</t>
  </si>
  <si>
    <t>Let's Encrypt</t>
  </si>
  <si>
    <t>Gratuito</t>
  </si>
  <si>
    <t>Renovação automática</t>
  </si>
  <si>
    <t>SUBTOTAL INFRAESTRUTURA</t>
  </si>
  <si>
    <t>CUSTO OPERACIONAL MENSAL TOTAL</t>
  </si>
  <si>
    <t>CUSTO OPERACIONAL ANUAL ESTIMADO</t>
  </si>
  <si>
    <t>COMPOSIÇÃO DOS CUSTOS</t>
  </si>
  <si>
    <t>Serviço</t>
  </si>
  <si>
    <t>Valor (R$)</t>
  </si>
  <si>
    <t>% do Total</t>
  </si>
  <si>
    <t>OpenAI (IA)</t>
  </si>
  <si>
    <t>Twilio/WhatsApp</t>
  </si>
  <si>
    <t>E-mail (Resend Pro)</t>
  </si>
  <si>
    <t>Infraestrutura</t>
  </si>
  <si>
    <t>CENÁRIOS DE CUSTO MENSAL POR VOLUME DE USO</t>
  </si>
  <si>
    <t>Métrica</t>
  </si>
  <si>
    <t>Conservador</t>
  </si>
  <si>
    <t>Moderado (base)</t>
  </si>
  <si>
    <t>Alto</t>
  </si>
  <si>
    <t>Pico máximo</t>
  </si>
  <si>
    <t>Ocorrências/mês</t>
  </si>
  <si>
    <t>Notificações/mês (por canal)</t>
  </si>
  <si>
    <t>Custo OpenAI (R$)</t>
  </si>
  <si>
    <t>Custo Twilio/WhatsApp (R$)</t>
  </si>
  <si>
    <t>Custo E-mail (R$)</t>
  </si>
  <si>
    <t>Plano de e-mail utilizado</t>
  </si>
  <si>
    <t>Custo Infraestrutura (R$)</t>
  </si>
  <si>
    <t>CUSTO MENSAL TOTAL (R$)</t>
  </si>
  <si>
    <t>CUSTO ANUAL ESTIMADO (R$)</t>
  </si>
  <si>
    <t>PARÂMETROS POR CENÁRIO</t>
  </si>
  <si>
    <t>Taxa de ativação (%)</t>
  </si>
  <si>
    <t>Taxa com foto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</si>
</sst>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R\$\ #,##0.00"/>
    <numFmt numFmtId="166" formatCode="\$\ #,##0.000000"/>
    <numFmt numFmtId="167" formatCode="\$\ #,##0.0000"/>
    <numFmt numFmtId="168" formatCode="\$\ #,##0.00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2"/>
      <color rgb="FFFFFFFF"/>
      <name val="Calibri"/>
    </font>
    <font>
      <b/>
      <sz val="11"/>
      <name val="Calibri"/>
    </font>
    <font>
      <sz val="11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2"/>
      <color rgb="FF1B4F72"/>
      <name val="Calibri"/>
    </font>
    <font>
      <b/>
      <sz val="14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2E86C1"/>
        <bgColor rgb="FF2E86C1"/>
      </patternFill>
    </fill>
    <fill>
      <patternFill patternType="solid">
        <fgColor rgb="FFD6EAF8"/>
        <bgColor rgb="FFD6EAF8"/>
      </patternFill>
    </fill>
    <fill>
      <patternFill patternType="solid">
        <fgColor rgb="FFF2F3F4"/>
        <bgColor rgb="FFF2F3F4"/>
      </patternFill>
    </fill>
    <fill>
      <patternFill patternType="solid">
        <fgColor rgb="FFFFFFFF"/>
        <bgColor rgb="FFFFFFFF"/>
      </patternFill>
    </fill>
    <fill>
      <patternFill patternType="solid">
        <fgColor rgb="FF27AE60"/>
        <bgColor rgb="FF27AE60"/>
      </patternFill>
    </fill>
    <fill>
      <patternFill patternType="solid">
        <fgColor rgb="FFD5F5E3"/>
        <bgColor rgb="FFD5F5E3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167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68" fontId="8" fillId="4" borderId="1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168" fontId="4" fillId="5" borderId="1" xfId="0" applyNumberFormat="1" applyFont="1" applyFill="1" applyBorder="1" applyAlignment="1">
      <alignment horizontal="center" vertical="center" wrapText="1"/>
    </xf>
    <xf numFmtId="168" fontId="4" fillId="6" borderId="1" xfId="0" applyNumberFormat="1" applyFont="1" applyFill="1" applyBorder="1" applyAlignment="1">
      <alignment horizontal="center" vertical="center" wrapText="1"/>
    </xf>
    <xf numFmtId="168" fontId="9" fillId="2" borderId="1" xfId="0" applyNumberFormat="1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68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165" fontId="8" fillId="8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9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F19"/>
  <sheetViews>
    <sheetView tabSelected="1" workbookViewId="0">
      <selection activeCell="B6" sqref="B6"/>
    </sheetView>
  </sheetViews>
  <sheetFormatPr defaultRowHeight="14.5" x14ac:dyDescent="0.35"/>
  <cols>
    <col min="1" max="1" width="32" customWidth="1"/>
    <col min="2" max="6" width="20" customWidth="1"/>
  </cols>
  <sheetData>
    <row r="1" spans="1:6" x14ac:dyDescent="0.35">
      <c r="A1" s="46" t="s">
        <v>0</v>
      </c>
      <c r="B1" s="44"/>
      <c r="C1" s="44"/>
      <c r="D1" s="44"/>
      <c r="E1" s="44"/>
      <c r="F1" s="45"/>
    </row>
    <row r="2" spans="1:6" x14ac:dyDescent="0.35">
      <c r="A2" s="43" t="s">
        <v>1</v>
      </c>
      <c r="B2" s="44"/>
      <c r="C2" s="44"/>
      <c r="D2" s="44"/>
      <c r="E2" s="44"/>
      <c r="F2" s="45"/>
    </row>
    <row r="4" spans="1:6" x14ac:dyDescent="0.35">
      <c r="A4" s="1" t="s">
        <v>2</v>
      </c>
      <c r="B4" s="1" t="s">
        <v>3</v>
      </c>
      <c r="C4" s="1" t="s">
        <v>4</v>
      </c>
    </row>
    <row r="5" spans="1:6" ht="26" customHeight="1" x14ac:dyDescent="0.35">
      <c r="A5" s="2" t="s">
        <v>5</v>
      </c>
      <c r="B5" s="3">
        <v>100000</v>
      </c>
      <c r="C5" s="4" t="s">
        <v>6</v>
      </c>
    </row>
    <row r="6" spans="1:6" ht="39" customHeight="1" x14ac:dyDescent="0.35">
      <c r="A6" s="5" t="s">
        <v>7</v>
      </c>
      <c r="B6" s="6">
        <v>0.4</v>
      </c>
      <c r="C6" s="7" t="s">
        <v>8</v>
      </c>
    </row>
    <row r="7" spans="1:6" x14ac:dyDescent="0.35">
      <c r="A7" s="2" t="s">
        <v>9</v>
      </c>
      <c r="B7" s="3">
        <f>B5*B6</f>
        <v>40000</v>
      </c>
      <c r="C7" s="4" t="s">
        <v>10</v>
      </c>
    </row>
    <row r="8" spans="1:6" x14ac:dyDescent="0.35">
      <c r="A8" s="5" t="s">
        <v>11</v>
      </c>
      <c r="B8" s="8">
        <v>2</v>
      </c>
      <c r="C8" s="7" t="s">
        <v>12</v>
      </c>
    </row>
    <row r="9" spans="1:6" x14ac:dyDescent="0.35">
      <c r="A9" s="2" t="s">
        <v>13</v>
      </c>
      <c r="B9" s="3">
        <f>B7*B8</f>
        <v>80000</v>
      </c>
      <c r="C9" s="4" t="s">
        <v>14</v>
      </c>
    </row>
    <row r="10" spans="1:6" ht="26" customHeight="1" x14ac:dyDescent="0.35">
      <c r="A10" s="5" t="s">
        <v>15</v>
      </c>
      <c r="B10" s="6">
        <v>0.6</v>
      </c>
      <c r="C10" s="7" t="s">
        <v>16</v>
      </c>
    </row>
    <row r="11" spans="1:6" x14ac:dyDescent="0.35">
      <c r="A11" s="2" t="s">
        <v>17</v>
      </c>
      <c r="B11" s="3">
        <f>B9*B10</f>
        <v>48000</v>
      </c>
      <c r="C11" s="4" t="s">
        <v>18</v>
      </c>
    </row>
    <row r="12" spans="1:6" x14ac:dyDescent="0.35">
      <c r="A12" s="5" t="s">
        <v>19</v>
      </c>
      <c r="B12" s="8">
        <f>B9*(1-B10)</f>
        <v>32000</v>
      </c>
      <c r="C12" s="7" t="s">
        <v>20</v>
      </c>
    </row>
    <row r="13" spans="1:6" ht="29" customHeight="1" x14ac:dyDescent="0.35">
      <c r="A13" s="2" t="s">
        <v>21</v>
      </c>
      <c r="B13" s="3">
        <v>2</v>
      </c>
      <c r="C13" s="4" t="s">
        <v>22</v>
      </c>
    </row>
    <row r="14" spans="1:6" x14ac:dyDescent="0.35">
      <c r="A14" s="5" t="s">
        <v>23</v>
      </c>
      <c r="B14" s="8">
        <f>B9*B13</f>
        <v>160000</v>
      </c>
      <c r="C14" s="7" t="s">
        <v>24</v>
      </c>
    </row>
    <row r="15" spans="1:6" ht="26" customHeight="1" x14ac:dyDescent="0.35">
      <c r="A15" s="2" t="s">
        <v>25</v>
      </c>
      <c r="B15" s="3">
        <f>B9</f>
        <v>80000</v>
      </c>
      <c r="C15" s="4" t="s">
        <v>26</v>
      </c>
    </row>
    <row r="16" spans="1:6" ht="29" customHeight="1" x14ac:dyDescent="0.35">
      <c r="A16" s="5" t="s">
        <v>27</v>
      </c>
      <c r="B16" s="8">
        <f>B14</f>
        <v>160000</v>
      </c>
      <c r="C16" s="7" t="s">
        <v>28</v>
      </c>
    </row>
    <row r="17" spans="1:3" x14ac:dyDescent="0.35">
      <c r="A17" s="2" t="s">
        <v>29</v>
      </c>
      <c r="B17" s="3">
        <f>B15+B16</f>
        <v>240000</v>
      </c>
      <c r="C17" s="4" t="s">
        <v>30</v>
      </c>
    </row>
    <row r="18" spans="1:3" x14ac:dyDescent="0.35">
      <c r="A18" s="5" t="s">
        <v>31</v>
      </c>
      <c r="B18" s="8">
        <f>B15+B16</f>
        <v>240000</v>
      </c>
      <c r="C18" s="7" t="s">
        <v>30</v>
      </c>
    </row>
    <row r="19" spans="1:3" x14ac:dyDescent="0.35">
      <c r="A19" s="2" t="s">
        <v>32</v>
      </c>
      <c r="B19" s="9">
        <v>5.22</v>
      </c>
      <c r="C19" s="4" t="s">
        <v>33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A1:G40"/>
  <sheetViews>
    <sheetView topLeftCell="A17" zoomScaleNormal="100" workbookViewId="0">
      <selection activeCell="F30" sqref="F30"/>
    </sheetView>
  </sheetViews>
  <sheetFormatPr defaultRowHeight="14.5" x14ac:dyDescent="0.35"/>
  <cols>
    <col min="1" max="1" width="36" customWidth="1"/>
    <col min="2" max="2" width="22" customWidth="1"/>
    <col min="3" max="6" width="18" customWidth="1"/>
    <col min="7" max="7" width="26" customWidth="1"/>
  </cols>
  <sheetData>
    <row r="1" spans="1:7" x14ac:dyDescent="0.35">
      <c r="A1" s="46" t="s">
        <v>34</v>
      </c>
      <c r="B1" s="44"/>
      <c r="C1" s="44"/>
      <c r="D1" s="44"/>
      <c r="E1" s="44"/>
      <c r="F1" s="44"/>
      <c r="G1" s="45"/>
    </row>
    <row r="3" spans="1:7" x14ac:dyDescent="0.35">
      <c r="A3" s="47" t="s">
        <v>35</v>
      </c>
      <c r="B3" s="44"/>
      <c r="C3" s="44"/>
      <c r="D3" s="44"/>
      <c r="E3" s="44"/>
      <c r="F3" s="44"/>
      <c r="G3" s="45"/>
    </row>
    <row r="4" spans="1:7" ht="29" x14ac:dyDescent="0.35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</row>
    <row r="5" spans="1:7" ht="26" x14ac:dyDescent="0.35">
      <c r="A5" s="2" t="s">
        <v>43</v>
      </c>
      <c r="B5" s="11" t="s">
        <v>44</v>
      </c>
      <c r="C5" s="34">
        <f>'Premissas e Volumes'!B12*700</f>
        <v>22400000</v>
      </c>
      <c r="D5" s="12">
        <v>1.4999999999999999E-7</v>
      </c>
      <c r="E5" s="13">
        <f>C5*D5</f>
        <v>3.36</v>
      </c>
      <c r="F5" s="14">
        <f>E5*'Premissas e Volumes'!$B$19</f>
        <v>17.539199999999997</v>
      </c>
      <c r="G5" s="4" t="s">
        <v>45</v>
      </c>
    </row>
    <row r="6" spans="1:7" ht="26" x14ac:dyDescent="0.35">
      <c r="A6" s="5" t="s">
        <v>46</v>
      </c>
      <c r="B6" s="15" t="s">
        <v>44</v>
      </c>
      <c r="C6" s="35">
        <f>'Premissas e Volumes'!B12*100</f>
        <v>3200000</v>
      </c>
      <c r="D6" s="16">
        <v>5.9999999999999997E-7</v>
      </c>
      <c r="E6" s="17">
        <f>C6*D6</f>
        <v>1.92</v>
      </c>
      <c r="F6" s="18">
        <f>E6*'Premissas e Volumes'!$B$19</f>
        <v>10.022399999999999</v>
      </c>
      <c r="G6" s="7" t="s">
        <v>47</v>
      </c>
    </row>
    <row r="7" spans="1:7" ht="26" x14ac:dyDescent="0.35">
      <c r="A7" s="2" t="s">
        <v>48</v>
      </c>
      <c r="B7" s="11" t="s">
        <v>49</v>
      </c>
      <c r="C7" s="34">
        <f>'Premissas e Volumes'!B11*4700</f>
        <v>225600000</v>
      </c>
      <c r="D7" s="12">
        <v>3.9999999999999998E-7</v>
      </c>
      <c r="E7" s="13">
        <f>C7*D7</f>
        <v>90.24</v>
      </c>
      <c r="F7" s="14">
        <f>E7*'Premissas e Volumes'!$B$19</f>
        <v>471.05279999999993</v>
      </c>
      <c r="G7" s="4" t="s">
        <v>50</v>
      </c>
    </row>
    <row r="8" spans="1:7" ht="26" x14ac:dyDescent="0.35">
      <c r="A8" s="5" t="s">
        <v>51</v>
      </c>
      <c r="B8" s="15" t="s">
        <v>49</v>
      </c>
      <c r="C8" s="35">
        <f>'Premissas e Volumes'!B11*100</f>
        <v>4800000</v>
      </c>
      <c r="D8" s="16">
        <v>1.5999999999999999E-6</v>
      </c>
      <c r="E8" s="17">
        <f>C8*D8</f>
        <v>7.68</v>
      </c>
      <c r="F8" s="18">
        <f>E8*'Premissas e Volumes'!$B$19</f>
        <v>40.089599999999997</v>
      </c>
      <c r="G8" s="7" t="s">
        <v>52</v>
      </c>
    </row>
    <row r="9" spans="1:7" ht="15.5" customHeight="1" x14ac:dyDescent="0.35">
      <c r="A9" s="19" t="s">
        <v>53</v>
      </c>
      <c r="B9" s="20"/>
      <c r="C9" s="20"/>
      <c r="D9" s="20"/>
      <c r="E9" s="21">
        <f>SUM(E5:E8)</f>
        <v>103.19999999999999</v>
      </c>
      <c r="F9" s="22">
        <f>SUM(F5:F8)</f>
        <v>538.70399999999995</v>
      </c>
      <c r="G9" s="20"/>
    </row>
    <row r="11" spans="1:7" x14ac:dyDescent="0.35">
      <c r="A11" s="47" t="s">
        <v>54</v>
      </c>
      <c r="B11" s="44"/>
      <c r="C11" s="44"/>
      <c r="D11" s="44"/>
      <c r="E11" s="44"/>
      <c r="F11" s="44"/>
      <c r="G11" s="45"/>
    </row>
    <row r="12" spans="1:7" ht="29" x14ac:dyDescent="0.35">
      <c r="A12" s="10" t="s">
        <v>36</v>
      </c>
      <c r="B12" s="10" t="s">
        <v>55</v>
      </c>
      <c r="C12" s="10" t="s">
        <v>38</v>
      </c>
      <c r="D12" s="10" t="s">
        <v>39</v>
      </c>
      <c r="E12" s="10" t="s">
        <v>40</v>
      </c>
      <c r="F12" s="10" t="s">
        <v>41</v>
      </c>
      <c r="G12" s="10" t="s">
        <v>42</v>
      </c>
    </row>
    <row r="13" spans="1:7" ht="26" x14ac:dyDescent="0.35">
      <c r="A13" s="2" t="s">
        <v>56</v>
      </c>
      <c r="B13" s="11" t="s">
        <v>57</v>
      </c>
      <c r="C13" s="34">
        <f>'Premissas e Volumes'!B18</f>
        <v>240000</v>
      </c>
      <c r="D13" s="13">
        <v>5.0000000000000001E-3</v>
      </c>
      <c r="E13" s="23">
        <f>C13*D13</f>
        <v>1200</v>
      </c>
      <c r="F13" s="14">
        <f>E13*'Premissas e Volumes'!$B$19</f>
        <v>6264</v>
      </c>
      <c r="G13" s="4" t="s">
        <v>58</v>
      </c>
    </row>
    <row r="14" spans="1:7" x14ac:dyDescent="0.35">
      <c r="A14" s="5" t="s">
        <v>59</v>
      </c>
      <c r="B14" s="15" t="s">
        <v>60</v>
      </c>
      <c r="C14" s="35">
        <f>'Premissas e Volumes'!B18</f>
        <v>240000</v>
      </c>
      <c r="D14" s="17">
        <f>0.05/'Premissas e Volumes'!$B$19</f>
        <v>9.578544061302683E-3</v>
      </c>
      <c r="E14" s="24">
        <f>C14*D14</f>
        <v>2298.8505747126437</v>
      </c>
      <c r="F14" s="18">
        <f>E14*'Premissas e Volumes'!$B$19</f>
        <v>12000</v>
      </c>
      <c r="G14" s="7" t="s">
        <v>61</v>
      </c>
    </row>
    <row r="15" spans="1:7" ht="26" customHeight="1" x14ac:dyDescent="0.35">
      <c r="A15" s="2" t="s">
        <v>62</v>
      </c>
      <c r="B15" s="11" t="s">
        <v>57</v>
      </c>
      <c r="C15" s="11">
        <v>1</v>
      </c>
      <c r="D15" s="13">
        <v>1.1499999999999999</v>
      </c>
      <c r="E15" s="23">
        <f>C15*D15</f>
        <v>1.1499999999999999</v>
      </c>
      <c r="F15" s="14">
        <f>E15*'Premissas e Volumes'!$B$19</f>
        <v>6.0029999999999992</v>
      </c>
      <c r="G15" s="4" t="s">
        <v>63</v>
      </c>
    </row>
    <row r="16" spans="1:7" ht="15.5" customHeight="1" x14ac:dyDescent="0.35">
      <c r="A16" s="19" t="s">
        <v>64</v>
      </c>
      <c r="B16" s="20"/>
      <c r="C16" s="20"/>
      <c r="D16" s="20"/>
      <c r="E16" s="21">
        <f>SUM(E13:E15)</f>
        <v>3500.0005747126438</v>
      </c>
      <c r="F16" s="22">
        <f>SUM(F13:F15)</f>
        <v>18270.003000000001</v>
      </c>
      <c r="G16" s="20"/>
    </row>
    <row r="18" spans="1:7" x14ac:dyDescent="0.35">
      <c r="A18" s="47" t="s">
        <v>65</v>
      </c>
      <c r="B18" s="44"/>
      <c r="C18" s="44"/>
      <c r="D18" s="44"/>
      <c r="E18" s="44"/>
      <c r="F18" s="44"/>
      <c r="G18" s="45"/>
    </row>
    <row r="19" spans="1:7" ht="29" x14ac:dyDescent="0.35">
      <c r="A19" s="10" t="s">
        <v>36</v>
      </c>
      <c r="B19" s="10" t="s">
        <v>55</v>
      </c>
      <c r="C19" s="10" t="s">
        <v>38</v>
      </c>
      <c r="D19" s="10" t="s">
        <v>39</v>
      </c>
      <c r="E19" s="10" t="s">
        <v>40</v>
      </c>
      <c r="F19" s="10" t="s">
        <v>41</v>
      </c>
      <c r="G19" s="10" t="s">
        <v>42</v>
      </c>
    </row>
    <row r="20" spans="1:7" ht="26" customHeight="1" x14ac:dyDescent="0.35">
      <c r="A20" s="2" t="s">
        <v>66</v>
      </c>
      <c r="B20" s="11" t="s">
        <v>67</v>
      </c>
      <c r="C20" s="11" t="s">
        <v>68</v>
      </c>
      <c r="D20" s="23">
        <v>20</v>
      </c>
      <c r="E20" s="23">
        <v>20</v>
      </c>
      <c r="F20" s="14">
        <f>E20*'Premissas e Volumes'!$B$19</f>
        <v>104.39999999999999</v>
      </c>
      <c r="G20" s="4" t="s">
        <v>69</v>
      </c>
    </row>
    <row r="21" spans="1:7" ht="26" customHeight="1" x14ac:dyDescent="0.35">
      <c r="A21" s="5" t="s">
        <v>70</v>
      </c>
      <c r="B21" s="15" t="s">
        <v>71</v>
      </c>
      <c r="C21" s="15" t="s">
        <v>72</v>
      </c>
      <c r="D21" s="24">
        <v>0</v>
      </c>
      <c r="E21" s="24">
        <v>0</v>
      </c>
      <c r="F21" s="18">
        <v>0</v>
      </c>
      <c r="G21" s="7" t="s">
        <v>73</v>
      </c>
    </row>
    <row r="22" spans="1:7" ht="26" customHeight="1" x14ac:dyDescent="0.35">
      <c r="A22" s="2" t="s">
        <v>74</v>
      </c>
      <c r="B22" s="11" t="s">
        <v>67</v>
      </c>
      <c r="C22" s="11" t="s">
        <v>75</v>
      </c>
      <c r="D22" s="23">
        <v>0</v>
      </c>
      <c r="E22" s="23">
        <v>0</v>
      </c>
      <c r="F22" s="14">
        <v>0</v>
      </c>
      <c r="G22" s="4" t="s">
        <v>76</v>
      </c>
    </row>
    <row r="23" spans="1:7" ht="15.5" customHeight="1" x14ac:dyDescent="0.35">
      <c r="A23" s="19" t="s">
        <v>77</v>
      </c>
      <c r="B23" s="20"/>
      <c r="C23" s="20"/>
      <c r="D23" s="20"/>
      <c r="E23" s="21">
        <f>E20</f>
        <v>20</v>
      </c>
      <c r="F23" s="22">
        <f>E23*'Premissas e Volumes'!$B$19</f>
        <v>104.39999999999999</v>
      </c>
      <c r="G23" s="20"/>
    </row>
    <row r="25" spans="1:7" x14ac:dyDescent="0.35">
      <c r="A25" s="47" t="s">
        <v>78</v>
      </c>
      <c r="B25" s="44"/>
      <c r="C25" s="44"/>
      <c r="D25" s="44"/>
      <c r="E25" s="44"/>
      <c r="F25" s="44"/>
      <c r="G25" s="45"/>
    </row>
    <row r="26" spans="1:7" ht="29" x14ac:dyDescent="0.35">
      <c r="A26" s="10" t="s">
        <v>36</v>
      </c>
      <c r="B26" s="10" t="s">
        <v>55</v>
      </c>
      <c r="C26" s="10" t="s">
        <v>79</v>
      </c>
      <c r="D26" s="10" t="s">
        <v>39</v>
      </c>
      <c r="E26" s="10" t="s">
        <v>40</v>
      </c>
      <c r="F26" s="10" t="s">
        <v>41</v>
      </c>
      <c r="G26" s="10" t="s">
        <v>42</v>
      </c>
    </row>
    <row r="27" spans="1:7" ht="26" customHeight="1" x14ac:dyDescent="0.35">
      <c r="A27" s="2" t="s">
        <v>80</v>
      </c>
      <c r="B27" s="11" t="s">
        <v>81</v>
      </c>
      <c r="C27" s="11" t="s">
        <v>82</v>
      </c>
      <c r="D27" s="23">
        <v>12</v>
      </c>
      <c r="E27" s="23">
        <v>12</v>
      </c>
      <c r="F27" s="14">
        <f>E27*'Premissas e Volumes'!$B$19</f>
        <v>62.64</v>
      </c>
      <c r="G27" s="4" t="s">
        <v>83</v>
      </c>
    </row>
    <row r="28" spans="1:7" ht="29" customHeight="1" x14ac:dyDescent="0.35">
      <c r="A28" s="5" t="s">
        <v>84</v>
      </c>
      <c r="B28" s="15" t="s">
        <v>85</v>
      </c>
      <c r="C28" s="15" t="s">
        <v>86</v>
      </c>
      <c r="D28" s="24">
        <v>1</v>
      </c>
      <c r="E28" s="24">
        <v>1</v>
      </c>
      <c r="F28" s="18">
        <f>E28*'Premissas e Volumes'!$B$19</f>
        <v>5.22</v>
      </c>
      <c r="G28" s="7" t="s">
        <v>87</v>
      </c>
    </row>
    <row r="29" spans="1:7" x14ac:dyDescent="0.35">
      <c r="A29" s="2" t="s">
        <v>88</v>
      </c>
      <c r="B29" s="11" t="s">
        <v>89</v>
      </c>
      <c r="C29" s="11" t="s">
        <v>90</v>
      </c>
      <c r="D29" s="23">
        <v>0</v>
      </c>
      <c r="E29" s="23">
        <v>0</v>
      </c>
      <c r="F29" s="14">
        <f>E29*'Premissas e Volumes'!$B$19</f>
        <v>0</v>
      </c>
      <c r="G29" s="4" t="s">
        <v>91</v>
      </c>
    </row>
    <row r="30" spans="1:7" ht="15.5" customHeight="1" x14ac:dyDescent="0.35">
      <c r="A30" s="19" t="s">
        <v>92</v>
      </c>
      <c r="B30" s="20"/>
      <c r="C30" s="20"/>
      <c r="D30" s="20"/>
      <c r="E30" s="21">
        <f>SUM(E27:E29)</f>
        <v>13</v>
      </c>
      <c r="F30" s="22">
        <f>SUM(F27:F29)</f>
        <v>67.86</v>
      </c>
      <c r="G30" s="20"/>
    </row>
    <row r="32" spans="1:7" ht="18.5" customHeight="1" x14ac:dyDescent="0.35">
      <c r="A32" s="48" t="s">
        <v>93</v>
      </c>
      <c r="B32" s="44"/>
      <c r="C32" s="44"/>
      <c r="D32" s="45"/>
      <c r="E32" s="25">
        <f>E9+E16+E23+E30</f>
        <v>3636.2005747126436</v>
      </c>
      <c r="F32" s="26">
        <f>F9+F16+F23+F30</f>
        <v>18980.967000000004</v>
      </c>
      <c r="G32" s="27"/>
    </row>
    <row r="33" spans="1:7" ht="15.5" customHeight="1" x14ac:dyDescent="0.35">
      <c r="A33" s="47" t="s">
        <v>94</v>
      </c>
      <c r="B33" s="44"/>
      <c r="C33" s="44"/>
      <c r="D33" s="45"/>
      <c r="E33" s="28">
        <f>E32*12</f>
        <v>43634.406896551722</v>
      </c>
      <c r="F33" s="29">
        <f>F32*12</f>
        <v>227771.60400000005</v>
      </c>
      <c r="G33" s="30"/>
    </row>
    <row r="35" spans="1:7" x14ac:dyDescent="0.35">
      <c r="A35" s="47" t="s">
        <v>95</v>
      </c>
      <c r="B35" s="44"/>
      <c r="C35" s="45"/>
    </row>
    <row r="36" spans="1:7" x14ac:dyDescent="0.35">
      <c r="A36" s="10" t="s">
        <v>96</v>
      </c>
      <c r="B36" s="10" t="s">
        <v>97</v>
      </c>
      <c r="C36" s="10" t="s">
        <v>98</v>
      </c>
    </row>
    <row r="37" spans="1:7" x14ac:dyDescent="0.35">
      <c r="A37" s="2" t="s">
        <v>99</v>
      </c>
      <c r="B37" s="14">
        <f>F9</f>
        <v>538.70399999999995</v>
      </c>
      <c r="C37" s="31">
        <f>B37/$F$32</f>
        <v>2.8381272671724252E-2</v>
      </c>
    </row>
    <row r="38" spans="1:7" x14ac:dyDescent="0.35">
      <c r="A38" s="5" t="s">
        <v>100</v>
      </c>
      <c r="B38" s="18">
        <f>F16</f>
        <v>18270.003000000001</v>
      </c>
      <c r="C38" s="32">
        <f>B38/$F$32</f>
        <v>0.96254332036929402</v>
      </c>
    </row>
    <row r="39" spans="1:7" x14ac:dyDescent="0.35">
      <c r="A39" s="2" t="s">
        <v>101</v>
      </c>
      <c r="B39" s="14">
        <f>F23</f>
        <v>104.39999999999999</v>
      </c>
      <c r="C39" s="31">
        <f>B39/$F$32</f>
        <v>5.5002466418070254E-3</v>
      </c>
    </row>
    <row r="40" spans="1:7" x14ac:dyDescent="0.35">
      <c r="A40" s="5" t="s">
        <v>102</v>
      </c>
      <c r="B40" s="18">
        <f>F30</f>
        <v>67.86</v>
      </c>
      <c r="C40" s="32">
        <f>B40/$F$32</f>
        <v>3.5751603171745665E-3</v>
      </c>
    </row>
  </sheetData>
  <mergeCells count="8">
    <mergeCell ref="A35:C35"/>
    <mergeCell ref="A11:G11"/>
    <mergeCell ref="A32:D32"/>
    <mergeCell ref="A1:G1"/>
    <mergeCell ref="A18:G18"/>
    <mergeCell ref="A3:G3"/>
    <mergeCell ref="A33:D33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E21"/>
  <sheetViews>
    <sheetView zoomScale="160" zoomScaleNormal="160" workbookViewId="0">
      <selection activeCell="E7" sqref="E7"/>
    </sheetView>
  </sheetViews>
  <sheetFormatPr defaultRowHeight="14.5" x14ac:dyDescent="0.35"/>
  <cols>
    <col min="1" max="1" width="36" customWidth="1"/>
    <col min="2" max="5" width="22" customWidth="1"/>
  </cols>
  <sheetData>
    <row r="1" spans="1:5" x14ac:dyDescent="0.35">
      <c r="A1" s="46" t="s">
        <v>103</v>
      </c>
      <c r="B1" s="44"/>
      <c r="C1" s="44"/>
      <c r="D1" s="44"/>
      <c r="E1" s="45"/>
    </row>
    <row r="3" spans="1:5" x14ac:dyDescent="0.35">
      <c r="A3" s="33" t="s">
        <v>104</v>
      </c>
      <c r="B3" s="33" t="s">
        <v>105</v>
      </c>
      <c r="C3" s="33" t="s">
        <v>106</v>
      </c>
      <c r="D3" s="33" t="s">
        <v>107</v>
      </c>
      <c r="E3" s="33" t="s">
        <v>108</v>
      </c>
    </row>
    <row r="4" spans="1:5" x14ac:dyDescent="0.35">
      <c r="A4" s="2" t="s">
        <v>9</v>
      </c>
      <c r="B4" s="34">
        <f>'Premissas e Volumes'!$B$5*B19</f>
        <v>20000</v>
      </c>
      <c r="C4" s="34">
        <f>'Premissas e Volumes'!$B$5*C19</f>
        <v>40000</v>
      </c>
      <c r="D4" s="34">
        <f>'Premissas e Volumes'!$B$5*D19</f>
        <v>60000</v>
      </c>
      <c r="E4" s="34">
        <f>'Premissas e Volumes'!$B$5*E19</f>
        <v>80000</v>
      </c>
    </row>
    <row r="5" spans="1:5" x14ac:dyDescent="0.35">
      <c r="A5" s="5" t="s">
        <v>109</v>
      </c>
      <c r="B5" s="35">
        <f t="shared" ref="B5:E6" si="0">B4*B20</f>
        <v>30000</v>
      </c>
      <c r="C5" s="35">
        <f t="shared" si="0"/>
        <v>80000</v>
      </c>
      <c r="D5" s="35">
        <f t="shared" si="0"/>
        <v>180000</v>
      </c>
      <c r="E5" s="35">
        <f t="shared" si="0"/>
        <v>320000</v>
      </c>
    </row>
    <row r="6" spans="1:5" x14ac:dyDescent="0.35">
      <c r="A6" s="2" t="s">
        <v>17</v>
      </c>
      <c r="B6" s="34">
        <f t="shared" si="0"/>
        <v>15000</v>
      </c>
      <c r="C6" s="34">
        <f t="shared" si="0"/>
        <v>48000</v>
      </c>
      <c r="D6" s="34">
        <f t="shared" si="0"/>
        <v>117000</v>
      </c>
      <c r="E6" s="34">
        <f t="shared" si="0"/>
        <v>224000</v>
      </c>
    </row>
    <row r="7" spans="1:5" x14ac:dyDescent="0.35">
      <c r="A7" s="5" t="s">
        <v>110</v>
      </c>
      <c r="B7" s="35">
        <f>B5*(1+'Premissas e Volumes'!$B$13)</f>
        <v>90000</v>
      </c>
      <c r="C7" s="35">
        <f>C5*(1+'Premissas e Volumes'!$B$13)</f>
        <v>240000</v>
      </c>
      <c r="D7" s="35">
        <f>D5*(1+'Premissas e Volumes'!$B$13)</f>
        <v>540000</v>
      </c>
      <c r="E7" s="35">
        <f>E5*(1+'Premissas e Volumes'!$B$13)</f>
        <v>960000</v>
      </c>
    </row>
    <row r="8" spans="1:5" x14ac:dyDescent="0.35">
      <c r="A8" s="5"/>
      <c r="B8" s="5"/>
      <c r="C8" s="5"/>
      <c r="D8" s="5"/>
      <c r="E8" s="5"/>
    </row>
    <row r="9" spans="1:5" x14ac:dyDescent="0.35">
      <c r="A9" s="36" t="s">
        <v>111</v>
      </c>
      <c r="B9" s="37">
        <f>((B5-B6)*(700*'Custos Operacionais'!$D$5+100*'Custos Operacionais'!$D$6)+B6*(4700*'Custos Operacionais'!$D$7+100*'Custos Operacionais'!$D$8))*'Premissas e Volumes'!$B$19</f>
        <v>172.6515</v>
      </c>
      <c r="C9" s="37">
        <f>((C5-C6)*(700*'Custos Operacionais'!$D$5+100*'Custos Operacionais'!$D$6)+C6*(4700*'Custos Operacionais'!$D$7+100*'Custos Operacionais'!$D$8))*'Premissas e Volumes'!$B$19</f>
        <v>538.70399999999995</v>
      </c>
      <c r="D9" s="37">
        <f>((D5-D6)*(700*'Custos Operacionais'!$D$5+100*'Custos Operacionais'!$D$6)+D6*(4700*'Custos Operacionais'!$D$7+100*'Custos Operacionais'!$D$8))*'Premissas e Volumes'!$B$19</f>
        <v>1300.1714999999999</v>
      </c>
      <c r="E9" s="37">
        <f>((E5-E6)*(700*'Custos Operacionais'!$D$5+100*'Custos Operacionais'!$D$6)+E6*(4700*'Custos Operacionais'!$D$7+100*'Custos Operacionais'!$D$8))*'Premissas e Volumes'!$B$19</f>
        <v>2468.0160000000001</v>
      </c>
    </row>
    <row r="10" spans="1:5" x14ac:dyDescent="0.35">
      <c r="A10" s="38" t="s">
        <v>112</v>
      </c>
      <c r="B10" s="9">
        <f>(B7*'Custos Operacionais'!$D$13+B7*0.05/'Premissas e Volumes'!$B$19+'Custos Operacionais'!$E$15)*'Premissas e Volumes'!$B$19</f>
        <v>6855.0030000000006</v>
      </c>
      <c r="C10" s="9">
        <f>(C7*'Custos Operacionais'!$D$13+C7*0.05/'Premissas e Volumes'!$B$19+'Custos Operacionais'!$E$15)*'Premissas e Volumes'!$B$19</f>
        <v>18270.003000000001</v>
      </c>
      <c r="D10" s="9">
        <f>(D7*'Custos Operacionais'!$D$13+D7*0.05/'Premissas e Volumes'!$B$19+'Custos Operacionais'!$E$15)*'Premissas e Volumes'!$B$19</f>
        <v>41100.002999999997</v>
      </c>
      <c r="E10" s="9">
        <f>(E7*'Custos Operacionais'!$D$13+E7*0.05/'Premissas e Volumes'!$B$19+'Custos Operacionais'!$E$15)*'Premissas e Volumes'!$B$19</f>
        <v>73062.002999999997</v>
      </c>
    </row>
    <row r="11" spans="1:5" x14ac:dyDescent="0.35">
      <c r="A11" s="36" t="s">
        <v>113</v>
      </c>
      <c r="B11" s="37">
        <f>IF(B7&lt;=3000,0,20*'Premissas e Volumes'!$B$19)</f>
        <v>104.39999999999999</v>
      </c>
      <c r="C11" s="37">
        <f>IF(C7&lt;=3000,0,20*'Premissas e Volumes'!$B$19)</f>
        <v>104.39999999999999</v>
      </c>
      <c r="D11" s="37">
        <f>IF(D7&lt;=3000,0,20*'Premissas e Volumes'!$B$19)</f>
        <v>104.39999999999999</v>
      </c>
      <c r="E11" s="37">
        <f>IF(E7&lt;=3000,0,20*'Premissas e Volumes'!$B$19)</f>
        <v>104.39999999999999</v>
      </c>
    </row>
    <row r="12" spans="1:5" x14ac:dyDescent="0.35">
      <c r="A12" s="2" t="s">
        <v>114</v>
      </c>
      <c r="B12" s="11" t="str">
        <f>IF(B7&lt;=3000,"Free","Pro ($20)")</f>
        <v>Pro ($20)</v>
      </c>
      <c r="C12" s="11" t="str">
        <f>IF(C7&lt;=3000,"Free","Pro ($20)")</f>
        <v>Pro ($20)</v>
      </c>
      <c r="D12" s="11" t="str">
        <f>IF(D7&lt;=3000,"Free","Pro ($20)")</f>
        <v>Pro ($20)</v>
      </c>
      <c r="E12" s="11" t="str">
        <f>IF(E7&lt;=3000,"Free","Pro ($20)")</f>
        <v>Pro ($20)</v>
      </c>
    </row>
    <row r="13" spans="1:5" x14ac:dyDescent="0.35">
      <c r="A13" s="36" t="s">
        <v>115</v>
      </c>
      <c r="B13" s="37">
        <f>'Custos Operacionais'!F30</f>
        <v>67.86</v>
      </c>
      <c r="C13" s="37">
        <f>'Custos Operacionais'!F30</f>
        <v>67.86</v>
      </c>
      <c r="D13" s="37">
        <f>'Custos Operacionais'!F30</f>
        <v>67.86</v>
      </c>
      <c r="E13" s="37">
        <f>'Custos Operacionais'!F30</f>
        <v>67.86</v>
      </c>
    </row>
    <row r="14" spans="1:5" x14ac:dyDescent="0.35">
      <c r="A14" s="5"/>
      <c r="B14" s="5"/>
      <c r="C14" s="5"/>
      <c r="D14" s="5"/>
      <c r="E14" s="5"/>
    </row>
    <row r="15" spans="1:5" ht="15.5" customHeight="1" x14ac:dyDescent="0.35">
      <c r="A15" s="39" t="s">
        <v>116</v>
      </c>
      <c r="B15" s="40">
        <f>B9+B10+B11+B13</f>
        <v>7199.9144999999999</v>
      </c>
      <c r="C15" s="40">
        <f>C9+C10+C11+C13</f>
        <v>18980.967000000004</v>
      </c>
      <c r="D15" s="40">
        <f>D9+D10+D11+D13</f>
        <v>42572.434499999996</v>
      </c>
      <c r="E15" s="40">
        <f>E9+E10+E11+E13</f>
        <v>75702.278999999995</v>
      </c>
    </row>
    <row r="16" spans="1:5" x14ac:dyDescent="0.35">
      <c r="A16" s="2" t="s">
        <v>117</v>
      </c>
      <c r="B16" s="14">
        <f>B15*12</f>
        <v>86398.974000000002</v>
      </c>
      <c r="C16" s="14">
        <f>C15*12</f>
        <v>227771.60400000005</v>
      </c>
      <c r="D16" s="14">
        <f>D15*12</f>
        <v>510869.21399999992</v>
      </c>
      <c r="E16" s="14">
        <f>E15*12</f>
        <v>908427.348</v>
      </c>
    </row>
    <row r="18" spans="1:5" x14ac:dyDescent="0.35">
      <c r="A18" s="41" t="s">
        <v>118</v>
      </c>
    </row>
    <row r="19" spans="1:5" x14ac:dyDescent="0.35">
      <c r="A19" t="s">
        <v>119</v>
      </c>
      <c r="B19" s="42">
        <v>0.2</v>
      </c>
      <c r="C19" s="42">
        <f>'Premissas e Volumes'!B6</f>
        <v>0.4</v>
      </c>
      <c r="D19" s="42">
        <v>0.6</v>
      </c>
      <c r="E19" s="42">
        <v>0.8</v>
      </c>
    </row>
    <row r="20" spans="1:5" x14ac:dyDescent="0.35">
      <c r="A20" t="s">
        <v>11</v>
      </c>
      <c r="B20">
        <v>1.5</v>
      </c>
      <c r="C20">
        <f>'Premissas e Volumes'!B8</f>
        <v>2</v>
      </c>
      <c r="D20">
        <v>3</v>
      </c>
      <c r="E20">
        <v>4</v>
      </c>
    </row>
    <row r="21" spans="1:5" x14ac:dyDescent="0.35">
      <c r="A21" t="s">
        <v>120</v>
      </c>
      <c r="B21" s="42">
        <v>0.5</v>
      </c>
      <c r="C21" s="42">
        <f>'Premissas e Volumes'!B10</f>
        <v>0.6</v>
      </c>
      <c r="D21" s="42">
        <v>0.65</v>
      </c>
      <c r="E21" s="42">
        <v>0.7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Premissas e Volumes</vt:lpstr>
      <vt:lpstr>Custos Operacionais</vt:lpstr>
      <vt:lpstr>Cenários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Luiz Alvarez dos Santos</cp:lastModifiedBy>
  <dcterms:created xsi:type="dcterms:W3CDTF">2026-08-17T12:43:23Z</dcterms:created>
  <dcterms:modified xsi:type="dcterms:W3CDTF">2026-08-17T15:12:53Z</dcterms:modified>
</cp:coreProperties>
</file>